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V\sena\Trinity\Trabajos_trinity\Tri_nro9\Estimacion de pruebas\"/>
    </mc:Choice>
  </mc:AlternateContent>
  <bookViews>
    <workbookView xWindow="0" yWindow="0" windowWidth="14640" windowHeight="5025"/>
  </bookViews>
  <sheets>
    <sheet name="Estimación" sheetId="1" r:id="rId1"/>
  </sheets>
  <calcPr calcId="162913"/>
  <extLst>
    <ext uri="GoogleSheetsCustomDataVersion2">
      <go:sheetsCustomData xmlns:go="http://customooxmlschemas.google.com/" r:id="rId5" roundtripDataChecksum="PO5Ycj8RkaFQJk2kCROU4rXxK3SXo50l/fDR4226MMY="/>
    </ext>
  </extLst>
</workbook>
</file>

<file path=xl/calcChain.xml><?xml version="1.0" encoding="utf-8"?>
<calcChain xmlns="http://schemas.openxmlformats.org/spreadsheetml/2006/main">
  <c r="J69" i="1" l="1"/>
  <c r="J65" i="1"/>
  <c r="J63" i="1"/>
  <c r="J59" i="1"/>
  <c r="J55" i="1"/>
  <c r="J38" i="1"/>
  <c r="J37" i="1" s="1"/>
  <c r="J36" i="1"/>
  <c r="J34" i="1" s="1"/>
  <c r="J27" i="1"/>
  <c r="J73" i="1" s="1"/>
  <c r="K75" i="1" s="1"/>
</calcChain>
</file>

<file path=xl/sharedStrings.xml><?xml version="1.0" encoding="utf-8"?>
<sst xmlns="http://schemas.openxmlformats.org/spreadsheetml/2006/main" count="89" uniqueCount="71">
  <si>
    <t>ESTIMACIÓN DE TIEMPOS</t>
  </si>
  <si>
    <t>INFORMACIÓN GENERAL DEL PROYECTO</t>
  </si>
  <si>
    <t>Número de Versión</t>
  </si>
  <si>
    <t>Acción (C,M)</t>
  </si>
  <si>
    <t>Fecha de Acción</t>
  </si>
  <si>
    <t>Resumen de Cambios</t>
  </si>
  <si>
    <t>Responsable de la Acción</t>
  </si>
  <si>
    <t>Observaciones</t>
  </si>
  <si>
    <t>C</t>
  </si>
  <si>
    <t>Juan Esteban Martinez Portela, Breiner Gustavo Rojas Sarabia, Edgar Felipe Mosquera Rozo, Ivan Mateo Garcia Giraldo</t>
  </si>
  <si>
    <t>Fecha inicio</t>
  </si>
  <si>
    <t>Fecha Final</t>
  </si>
  <si>
    <t>Analista de diseño</t>
  </si>
  <si>
    <t>Analista de ejecución</t>
  </si>
  <si>
    <t>Dedicación diaria en horas</t>
  </si>
  <si>
    <t>Información del Requerimiento</t>
  </si>
  <si>
    <t>Proyecto</t>
  </si>
  <si>
    <t>BEJI</t>
  </si>
  <si>
    <t>Nombre del Requerimiento</t>
  </si>
  <si>
    <t>Gestionar  usuarios
Gestionar ventas
Gestionar proveedores
Gestionar mercancia</t>
  </si>
  <si>
    <t xml:space="preserve">Lider de calidad </t>
  </si>
  <si>
    <t>Edgar Felipe Mosquera Rozo</t>
  </si>
  <si>
    <t>ESTIMACIÓN DE TIEMPOS PRUEBAS</t>
  </si>
  <si>
    <t>PLANEACIÓN</t>
  </si>
  <si>
    <t>Fecha Inicial</t>
  </si>
  <si>
    <t>Revisión, Estudio y Análisis de objetivos</t>
  </si>
  <si>
    <t>Reunión de Socialización de objetivos</t>
  </si>
  <si>
    <t>Estimación de tiempos</t>
  </si>
  <si>
    <t>0.5</t>
  </si>
  <si>
    <t>Elaboración plan de pruebas</t>
  </si>
  <si>
    <t>Reunión de contextualización entrega del desarrollo</t>
  </si>
  <si>
    <t>Ajustes al Plan de Pruebas</t>
  </si>
  <si>
    <t>DISEÑO</t>
  </si>
  <si>
    <t>Diseño de los casos de pruebas: Requerimiento</t>
  </si>
  <si>
    <t>Ajustes de los casos de pruebas</t>
  </si>
  <si>
    <t>EJECUCIÓN</t>
  </si>
  <si>
    <t>Ciclo 1</t>
  </si>
  <si>
    <t>Elaboración de la Data de pruebas.</t>
  </si>
  <si>
    <t>CP001 - Crear Usuario</t>
  </si>
  <si>
    <t>CP002 - Mostrar lista de Usuarios</t>
  </si>
  <si>
    <t xml:space="preserve"> </t>
  </si>
  <si>
    <t>CP003 - Actualizar Usuario</t>
  </si>
  <si>
    <t>CP004 -Eliminar usuario</t>
  </si>
  <si>
    <t>CP005- Crear Producto</t>
  </si>
  <si>
    <t>CP006 - Mostrar Productos Filtrados por Categoria</t>
  </si>
  <si>
    <t>CP007 - Mostrar Productos Filtrados por Subcategoria</t>
  </si>
  <si>
    <t>CP008 - Eliminar Productos</t>
  </si>
  <si>
    <t>CP009 - Actualizar Productos</t>
  </si>
  <si>
    <t>CP010 - Agregar Proveedores</t>
  </si>
  <si>
    <t>CP011 - Actualizar Proveedores</t>
  </si>
  <si>
    <t>CP012 - Eliminar Proveedores</t>
  </si>
  <si>
    <t>CP013 - Crear Ventas</t>
  </si>
  <si>
    <t>CP014 - Actualizar Ventas</t>
  </si>
  <si>
    <t>CP015 - Modificar Estado de  Ventas</t>
  </si>
  <si>
    <t>Ciclo 2</t>
  </si>
  <si>
    <t>Elaboración de la Data de pruebas</t>
  </si>
  <si>
    <t>Ejecución de casos de Pruebas: Requerimiento</t>
  </si>
  <si>
    <t>REGRESIÓN</t>
  </si>
  <si>
    <t xml:space="preserve">Ejecución  de de Pruebas : Requerimiento </t>
  </si>
  <si>
    <t xml:space="preserve">Adecuación de Evidencias: Requerimiento </t>
  </si>
  <si>
    <t xml:space="preserve">SMOKE TEST </t>
  </si>
  <si>
    <t>Smoke Test Módulo: Requerimiento</t>
  </si>
  <si>
    <t>GESTIÓN</t>
  </si>
  <si>
    <t xml:space="preserve">Reuniones </t>
  </si>
  <si>
    <t>Elaboración de Informes</t>
  </si>
  <si>
    <t>ENTREGA Y CIERRE</t>
  </si>
  <si>
    <t>Análisis de Resultados</t>
  </si>
  <si>
    <t>Elaboración y Entrega de Certificado de Pruebas</t>
  </si>
  <si>
    <t>Actualización del Repositorio</t>
  </si>
  <si>
    <t>TOTAL ESTIMACIÓN</t>
  </si>
  <si>
    <t>TOTAL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</si>
</sst>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\ mmmm\ yyyy"/>
    <numFmt numFmtId="165" formatCode="dd/mm/yy"/>
    <numFmt numFmtId="166" formatCode="dd/mm/yyyy"/>
    <numFmt numFmtId="167" formatCode="dd\ mm\ yyyy"/>
  </numFmts>
  <fonts count="14">
    <font>
      <sz val="11"/>
      <color rgb="FF000000"/>
      <name val="Calibri"/>
      <scheme val="minor"/>
    </font>
    <font>
      <sz val="11"/>
      <color rgb="FF000000"/>
      <name val="Arial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0"/>
      <color rgb="FF666666"/>
      <name val="Calibri"/>
    </font>
    <font>
      <sz val="11"/>
      <color rgb="FF666666"/>
      <name val="Calibri"/>
    </font>
    <font>
      <sz val="11"/>
      <color rgb="FF595959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</fills>
  <borders count="45">
    <border>
      <left/>
      <right/>
      <top/>
      <bottom/>
      <diagonal/>
    </border>
    <border>
      <left style="hair">
        <color rgb="FF3C3C3C"/>
      </left>
      <right/>
      <top style="hair">
        <color rgb="FF3C3C3C"/>
      </top>
      <bottom/>
      <diagonal/>
    </border>
    <border>
      <left/>
      <right style="hair">
        <color rgb="FF3C3C3C"/>
      </right>
      <top style="hair">
        <color rgb="FF3C3C3C"/>
      </top>
      <bottom/>
      <diagonal/>
    </border>
    <border>
      <left/>
      <right/>
      <top style="hair">
        <color rgb="FF3C3C3C"/>
      </top>
      <bottom/>
      <diagonal/>
    </border>
    <border>
      <left/>
      <right style="hair">
        <color rgb="FF000000"/>
      </right>
      <top style="hair">
        <color rgb="FF3C3C3C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3C3C3C"/>
      </left>
      <right/>
      <top/>
      <bottom/>
      <diagonal/>
    </border>
    <border>
      <left/>
      <right style="hair">
        <color rgb="FF3C3C3C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3C3C3C"/>
      </left>
      <right/>
      <top/>
      <bottom style="hair">
        <color rgb="FF3C3C3C"/>
      </bottom>
      <diagonal/>
    </border>
    <border>
      <left/>
      <right style="hair">
        <color rgb="FF3C3C3C"/>
      </right>
      <top/>
      <bottom style="hair">
        <color rgb="FF3C3C3C"/>
      </bottom>
      <diagonal/>
    </border>
    <border>
      <left/>
      <right/>
      <top/>
      <bottom style="hair">
        <color rgb="FF3C3C3C"/>
      </bottom>
      <diagonal/>
    </border>
    <border>
      <left/>
      <right style="hair">
        <color rgb="FF000000"/>
      </right>
      <top/>
      <bottom style="hair">
        <color rgb="FF3C3C3C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4" fillId="0" borderId="0" xfId="0" applyFont="1"/>
    <xf numFmtId="0" fontId="5" fillId="3" borderId="29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164" fontId="6" fillId="2" borderId="29" xfId="0" applyNumberFormat="1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/>
    <xf numFmtId="0" fontId="5" fillId="3" borderId="29" xfId="0" applyFont="1" applyFill="1" applyBorder="1" applyAlignment="1">
      <alignment vertical="center"/>
    </xf>
    <xf numFmtId="0" fontId="5" fillId="3" borderId="29" xfId="0" applyFont="1" applyFill="1" applyBorder="1"/>
    <xf numFmtId="0" fontId="5" fillId="3" borderId="29" xfId="0" applyFont="1" applyFill="1" applyBorder="1" applyAlignment="1">
      <alignment horizontal="center"/>
    </xf>
    <xf numFmtId="0" fontId="4" fillId="2" borderId="29" xfId="0" applyFont="1" applyFill="1" applyBorder="1"/>
    <xf numFmtId="167" fontId="4" fillId="2" borderId="29" xfId="0" applyNumberFormat="1" applyFont="1" applyFill="1" applyBorder="1" applyAlignment="1"/>
    <xf numFmtId="167" fontId="4" fillId="2" borderId="29" xfId="0" applyNumberFormat="1" applyFont="1" applyFill="1" applyBorder="1"/>
    <xf numFmtId="0" fontId="4" fillId="2" borderId="29" xfId="0" applyFont="1" applyFill="1" applyBorder="1" applyAlignment="1">
      <alignment horizontal="right"/>
    </xf>
    <xf numFmtId="0" fontId="5" fillId="3" borderId="39" xfId="0" applyFont="1" applyFill="1" applyBorder="1"/>
    <xf numFmtId="166" fontId="4" fillId="2" borderId="40" xfId="0" applyNumberFormat="1" applyFont="1" applyFill="1" applyBorder="1"/>
    <xf numFmtId="166" fontId="4" fillId="2" borderId="29" xfId="0" applyNumberFormat="1" applyFont="1" applyFill="1" applyBorder="1"/>
    <xf numFmtId="0" fontId="5" fillId="3" borderId="41" xfId="0" applyFont="1" applyFill="1" applyBorder="1"/>
    <xf numFmtId="0" fontId="4" fillId="2" borderId="29" xfId="0" applyFont="1" applyFill="1" applyBorder="1" applyAlignment="1"/>
    <xf numFmtId="0" fontId="9" fillId="2" borderId="42" xfId="0" applyFont="1" applyFill="1" applyBorder="1" applyAlignment="1">
      <alignment horizontal="left" vertical="center" wrapText="1"/>
    </xf>
    <xf numFmtId="0" fontId="11" fillId="0" borderId="23" xfId="0" applyFont="1" applyBorder="1"/>
    <xf numFmtId="0" fontId="11" fillId="0" borderId="24" xfId="0" applyFont="1" applyBorder="1"/>
    <xf numFmtId="0" fontId="4" fillId="0" borderId="0" xfId="0" applyFont="1" applyAlignment="1"/>
    <xf numFmtId="0" fontId="9" fillId="2" borderId="42" xfId="0" applyFont="1" applyFill="1" applyBorder="1" applyAlignment="1">
      <alignment horizontal="left" vertical="center" wrapText="1"/>
    </xf>
    <xf numFmtId="0" fontId="5" fillId="3" borderId="43" xfId="0" applyFont="1" applyFill="1" applyBorder="1"/>
    <xf numFmtId="166" fontId="4" fillId="2" borderId="24" xfId="0" applyNumberFormat="1" applyFont="1" applyFill="1" applyBorder="1"/>
    <xf numFmtId="166" fontId="4" fillId="2" borderId="29" xfId="0" applyNumberFormat="1" applyFont="1" applyFill="1" applyBorder="1" applyAlignment="1">
      <alignment horizontal="right"/>
    </xf>
    <xf numFmtId="0" fontId="5" fillId="3" borderId="44" xfId="0" applyFont="1" applyFill="1" applyBorder="1"/>
    <xf numFmtId="0" fontId="4" fillId="2" borderId="29" xfId="0" applyFont="1" applyFill="1" applyBorder="1" applyAlignment="1">
      <alignment horizontal="right"/>
    </xf>
    <xf numFmtId="0" fontId="12" fillId="0" borderId="29" xfId="0" applyFont="1" applyBorder="1"/>
    <xf numFmtId="0" fontId="4" fillId="2" borderId="30" xfId="0" applyFont="1" applyFill="1" applyBorder="1"/>
    <xf numFmtId="0" fontId="13" fillId="3" borderId="30" xfId="0" applyFont="1" applyFill="1" applyBorder="1"/>
    <xf numFmtId="0" fontId="5" fillId="3" borderId="22" xfId="0" applyFont="1" applyFill="1" applyBorder="1" applyAlignment="1">
      <alignment horizontal="left" vertical="center"/>
    </xf>
    <xf numFmtId="0" fontId="2" fillId="0" borderId="23" xfId="0" applyFont="1" applyBorder="1"/>
    <xf numFmtId="0" fontId="2" fillId="0" borderId="24" xfId="0" applyFont="1" applyBorder="1"/>
    <xf numFmtId="0" fontId="1" fillId="3" borderId="22" xfId="0" applyFont="1" applyFill="1" applyBorder="1"/>
    <xf numFmtId="0" fontId="8" fillId="2" borderId="22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 wrapText="1"/>
    </xf>
    <xf numFmtId="0" fontId="9" fillId="2" borderId="22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 vertical="center"/>
    </xf>
    <xf numFmtId="0" fontId="12" fillId="0" borderId="22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13" xfId="0" applyFont="1" applyBorder="1"/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10" xfId="0" applyFont="1" applyBorder="1"/>
    <xf numFmtId="0" fontId="2" fillId="0" borderId="14" xfId="0" applyFont="1" applyBorder="1"/>
    <xf numFmtId="0" fontId="2" fillId="0" borderId="15" xfId="0" applyFont="1" applyBorder="1"/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" fillId="2" borderId="19" xfId="0" applyFont="1" applyFill="1" applyBorder="1"/>
    <xf numFmtId="0" fontId="2" fillId="0" borderId="20" xfId="0" applyFont="1" applyBorder="1"/>
    <xf numFmtId="0" fontId="2" fillId="0" borderId="21" xfId="0" applyFont="1" applyBorder="1"/>
    <xf numFmtId="0" fontId="1" fillId="2" borderId="25" xfId="0" applyFont="1" applyFill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5" fillId="3" borderId="22" xfId="0" applyFont="1" applyFill="1" applyBorder="1" applyAlignment="1">
      <alignment horizontal="center" vertical="center" wrapText="1"/>
    </xf>
    <xf numFmtId="0" fontId="1" fillId="2" borderId="22" xfId="0" applyFont="1" applyFill="1" applyBorder="1"/>
    <xf numFmtId="0" fontId="7" fillId="2" borderId="22" xfId="0" applyFont="1" applyFill="1" applyBorder="1" applyAlignment="1">
      <alignment wrapText="1"/>
    </xf>
    <xf numFmtId="0" fontId="6" fillId="2" borderId="22" xfId="0" applyFont="1" applyFill="1" applyBorder="1" applyAlignment="1">
      <alignment horizontal="center" vertical="center" wrapText="1"/>
    </xf>
    <xf numFmtId="0" fontId="1" fillId="2" borderId="31" xfId="0" applyFont="1" applyFill="1" applyBorder="1"/>
    <xf numFmtId="0" fontId="2" fillId="0" borderId="32" xfId="0" applyFont="1" applyBorder="1"/>
    <xf numFmtId="0" fontId="2" fillId="0" borderId="33" xfId="0" applyFont="1" applyBorder="1"/>
    <xf numFmtId="165" fontId="6" fillId="2" borderId="22" xfId="0" applyNumberFormat="1" applyFont="1" applyFill="1" applyBorder="1" applyAlignment="1">
      <alignment horizontal="center"/>
    </xf>
    <xf numFmtId="166" fontId="3" fillId="2" borderId="22" xfId="0" applyNumberFormat="1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/>
    </xf>
    <xf numFmtId="0" fontId="1" fillId="2" borderId="34" xfId="0" applyFont="1" applyFill="1" applyBorder="1"/>
    <xf numFmtId="0" fontId="2" fillId="0" borderId="35" xfId="0" applyFont="1" applyBorder="1"/>
    <xf numFmtId="0" fontId="6" fillId="2" borderId="22" xfId="0" applyFont="1" applyFill="1" applyBorder="1" applyAlignment="1">
      <alignment horizontal="center" wrapText="1"/>
    </xf>
    <xf numFmtId="0" fontId="1" fillId="2" borderId="36" xfId="0" applyFont="1" applyFill="1" applyBorder="1"/>
    <xf numFmtId="0" fontId="2" fillId="0" borderId="37" xfId="0" applyFont="1" applyBorder="1"/>
    <xf numFmtId="0" fontId="2" fillId="0" borderId="3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1447800</xdr:colOff>
      <xdr:row>0</xdr:row>
      <xdr:rowOff>0</xdr:rowOff>
    </xdr:from>
    <xdr:ext cx="1066800" cy="8858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1014"/>
  <sheetViews>
    <sheetView tabSelected="1" topLeftCell="A25" zoomScale="70" zoomScaleNormal="70" workbookViewId="0">
      <selection activeCell="A4" sqref="A4"/>
    </sheetView>
  </sheetViews>
  <sheetFormatPr baseColWidth="10" defaultColWidth="14.42578125" defaultRowHeight="15" customHeight="1"/>
  <cols>
    <col min="2" max="2" width="30.5703125" customWidth="1"/>
    <col min="3" max="3" width="30" customWidth="1"/>
    <col min="4" max="4" width="26" customWidth="1"/>
    <col min="7" max="7" width="17.28515625" customWidth="1"/>
    <col min="11" max="11" width="23.85546875" customWidth="1"/>
    <col min="12" max="12" width="25.42578125" customWidth="1"/>
    <col min="13" max="27" width="9.85546875" customWidth="1"/>
  </cols>
  <sheetData>
    <row r="1" spans="2:27" ht="24" customHeight="1">
      <c r="B1" s="44"/>
      <c r="C1" s="45"/>
      <c r="D1" s="50" t="s">
        <v>0</v>
      </c>
      <c r="E1" s="51"/>
      <c r="F1" s="51"/>
      <c r="G1" s="51"/>
      <c r="H1" s="52"/>
      <c r="I1" s="57"/>
      <c r="J1" s="58"/>
      <c r="K1" s="58"/>
      <c r="L1" s="5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24" customHeight="1">
      <c r="B2" s="46"/>
      <c r="C2" s="47"/>
      <c r="D2" s="46"/>
      <c r="E2" s="53"/>
      <c r="F2" s="53"/>
      <c r="G2" s="53"/>
      <c r="H2" s="54"/>
      <c r="I2" s="60"/>
      <c r="J2" s="53"/>
      <c r="K2" s="53"/>
      <c r="L2" s="5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24" customHeight="1">
      <c r="B3" s="48"/>
      <c r="C3" s="49"/>
      <c r="D3" s="48"/>
      <c r="E3" s="55"/>
      <c r="F3" s="55"/>
      <c r="G3" s="55"/>
      <c r="H3" s="56"/>
      <c r="I3" s="61"/>
      <c r="J3" s="62"/>
      <c r="K3" s="62"/>
      <c r="L3" s="6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>
      <c r="B4" s="64"/>
      <c r="C4" s="65"/>
      <c r="D4" s="65"/>
      <c r="E4" s="65"/>
      <c r="F4" s="65"/>
      <c r="G4" s="65"/>
      <c r="H4" s="65"/>
      <c r="I4" s="65"/>
      <c r="J4" s="65"/>
      <c r="K4" s="65"/>
      <c r="L4" s="6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>
      <c r="B5" s="42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>
      <c r="B6" s="67"/>
      <c r="C6" s="58"/>
      <c r="D6" s="58"/>
      <c r="E6" s="58"/>
      <c r="F6" s="58"/>
      <c r="G6" s="58"/>
      <c r="H6" s="58"/>
      <c r="I6" s="58"/>
      <c r="J6" s="58"/>
      <c r="K6" s="58"/>
      <c r="L6" s="6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>
      <c r="B7" s="69"/>
      <c r="C7" s="62"/>
      <c r="D7" s="62"/>
      <c r="E7" s="62"/>
      <c r="F7" s="62"/>
      <c r="G7" s="62"/>
      <c r="H7" s="62"/>
      <c r="I7" s="62"/>
      <c r="J7" s="62"/>
      <c r="K7" s="62"/>
      <c r="L7" s="7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36" customHeight="1">
      <c r="B8" s="2" t="s">
        <v>2</v>
      </c>
      <c r="C8" s="2" t="s">
        <v>3</v>
      </c>
      <c r="D8" s="2" t="s">
        <v>4</v>
      </c>
      <c r="E8" s="71" t="s">
        <v>5</v>
      </c>
      <c r="F8" s="34"/>
      <c r="G8" s="71" t="s">
        <v>6</v>
      </c>
      <c r="H8" s="34"/>
      <c r="I8" s="71" t="s">
        <v>7</v>
      </c>
      <c r="J8" s="33"/>
      <c r="K8" s="33"/>
      <c r="L8" s="3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67.5" customHeight="1">
      <c r="B9" s="3">
        <v>1</v>
      </c>
      <c r="C9" s="3" t="s">
        <v>8</v>
      </c>
      <c r="D9" s="4">
        <v>45960</v>
      </c>
      <c r="E9" s="73"/>
      <c r="F9" s="34"/>
      <c r="G9" s="74" t="s">
        <v>9</v>
      </c>
      <c r="H9" s="34"/>
      <c r="I9" s="73"/>
      <c r="J9" s="33"/>
      <c r="K9" s="33"/>
      <c r="L9" s="3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>
      <c r="B10" s="5"/>
      <c r="C10" s="5"/>
      <c r="D10" s="5"/>
      <c r="E10" s="72"/>
      <c r="F10" s="34"/>
      <c r="G10" s="72"/>
      <c r="H10" s="34"/>
      <c r="I10" s="72"/>
      <c r="J10" s="33"/>
      <c r="K10" s="33"/>
      <c r="L10" s="3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>
      <c r="B11" s="5"/>
      <c r="C11" s="5"/>
      <c r="D11" s="5"/>
      <c r="E11" s="72"/>
      <c r="F11" s="34"/>
      <c r="G11" s="72"/>
      <c r="H11" s="34"/>
      <c r="I11" s="72"/>
      <c r="J11" s="33"/>
      <c r="K11" s="33"/>
      <c r="L11" s="3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>
      <c r="B12" s="6"/>
      <c r="C12" s="75"/>
      <c r="D12" s="76"/>
      <c r="E12" s="76"/>
      <c r="F12" s="76"/>
      <c r="G12" s="76"/>
      <c r="H12" s="76"/>
      <c r="I12" s="76"/>
      <c r="J12" s="76"/>
      <c r="K12" s="76"/>
      <c r="L12" s="7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>
      <c r="B13" s="6"/>
      <c r="C13" s="64"/>
      <c r="D13" s="65"/>
      <c r="E13" s="65"/>
      <c r="F13" s="65"/>
      <c r="G13" s="65"/>
      <c r="H13" s="65"/>
      <c r="I13" s="65"/>
      <c r="J13" s="65"/>
      <c r="K13" s="65"/>
      <c r="L13" s="6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>
      <c r="B14" s="7" t="s">
        <v>10</v>
      </c>
      <c r="C14" s="78">
        <v>45961</v>
      </c>
      <c r="D14" s="33"/>
      <c r="E14" s="33"/>
      <c r="F14" s="33"/>
      <c r="G14" s="33"/>
      <c r="H14" s="33"/>
      <c r="I14" s="33"/>
      <c r="J14" s="33"/>
      <c r="K14" s="33"/>
      <c r="L14" s="3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>
      <c r="B15" s="7" t="s">
        <v>11</v>
      </c>
      <c r="C15" s="79">
        <v>45970</v>
      </c>
      <c r="D15" s="33"/>
      <c r="E15" s="33"/>
      <c r="F15" s="33"/>
      <c r="G15" s="33"/>
      <c r="H15" s="33"/>
      <c r="I15" s="33"/>
      <c r="J15" s="33"/>
      <c r="K15" s="33"/>
      <c r="L15" s="3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>
      <c r="B16" s="7" t="s">
        <v>12</v>
      </c>
      <c r="C16" s="80" t="s">
        <v>9</v>
      </c>
      <c r="D16" s="33"/>
      <c r="E16" s="33"/>
      <c r="F16" s="33"/>
      <c r="G16" s="33"/>
      <c r="H16" s="33"/>
      <c r="I16" s="33"/>
      <c r="J16" s="33"/>
      <c r="K16" s="33"/>
      <c r="L16" s="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>
      <c r="B17" s="7" t="s">
        <v>13</v>
      </c>
      <c r="C17" s="80" t="s">
        <v>9</v>
      </c>
      <c r="D17" s="33"/>
      <c r="E17" s="33"/>
      <c r="F17" s="33"/>
      <c r="G17" s="33"/>
      <c r="H17" s="33"/>
      <c r="I17" s="33"/>
      <c r="J17" s="33"/>
      <c r="K17" s="33"/>
      <c r="L17" s="3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>
      <c r="B18" s="7" t="s">
        <v>14</v>
      </c>
      <c r="C18" s="80">
        <v>2</v>
      </c>
      <c r="D18" s="33"/>
      <c r="E18" s="33"/>
      <c r="F18" s="33"/>
      <c r="G18" s="33"/>
      <c r="H18" s="33"/>
      <c r="I18" s="33"/>
      <c r="J18" s="33"/>
      <c r="K18" s="33"/>
      <c r="L18" s="3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>
      <c r="B19" s="83"/>
      <c r="C19" s="33"/>
      <c r="D19" s="33"/>
      <c r="E19" s="33"/>
      <c r="F19" s="33"/>
      <c r="G19" s="33"/>
      <c r="H19" s="33"/>
      <c r="I19" s="33"/>
      <c r="J19" s="33"/>
      <c r="K19" s="33"/>
      <c r="L19" s="8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>
      <c r="B20" s="42" t="s">
        <v>15</v>
      </c>
      <c r="C20" s="33"/>
      <c r="D20" s="34"/>
      <c r="E20" s="72"/>
      <c r="F20" s="33"/>
      <c r="G20" s="33"/>
      <c r="H20" s="33"/>
      <c r="I20" s="33"/>
      <c r="J20" s="33"/>
      <c r="K20" s="33"/>
      <c r="L20" s="3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5.75" customHeight="1">
      <c r="B21" s="82" t="s">
        <v>16</v>
      </c>
      <c r="C21" s="33"/>
      <c r="D21" s="34"/>
      <c r="E21" s="80" t="s">
        <v>17</v>
      </c>
      <c r="F21" s="33"/>
      <c r="G21" s="33"/>
      <c r="H21" s="33"/>
      <c r="I21" s="33"/>
      <c r="J21" s="33"/>
      <c r="K21" s="33"/>
      <c r="L21" s="3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59.25" customHeight="1">
      <c r="B22" s="81" t="s">
        <v>18</v>
      </c>
      <c r="C22" s="33"/>
      <c r="D22" s="34"/>
      <c r="E22" s="85" t="s">
        <v>19</v>
      </c>
      <c r="F22" s="33"/>
      <c r="G22" s="33"/>
      <c r="H22" s="33"/>
      <c r="I22" s="33"/>
      <c r="J22" s="33"/>
      <c r="K22" s="33"/>
      <c r="L22" s="3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5" customHeight="1">
      <c r="B23" s="82" t="s">
        <v>20</v>
      </c>
      <c r="C23" s="33"/>
      <c r="D23" s="34"/>
      <c r="E23" s="85" t="s">
        <v>21</v>
      </c>
      <c r="F23" s="33"/>
      <c r="G23" s="33"/>
      <c r="H23" s="33"/>
      <c r="I23" s="33"/>
      <c r="J23" s="33"/>
      <c r="K23" s="33"/>
      <c r="L23" s="3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5.75" customHeight="1">
      <c r="B24" s="86"/>
      <c r="C24" s="87"/>
      <c r="D24" s="87"/>
      <c r="E24" s="87"/>
      <c r="F24" s="87"/>
      <c r="G24" s="87"/>
      <c r="H24" s="87"/>
      <c r="I24" s="87"/>
      <c r="J24" s="87"/>
      <c r="K24" s="87"/>
      <c r="L24" s="8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5.75" customHeight="1">
      <c r="B25" s="42" t="s">
        <v>22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5.75" customHeight="1">
      <c r="B26" s="72"/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5.75" customHeight="1">
      <c r="B27" s="32" t="s">
        <v>23</v>
      </c>
      <c r="C27" s="33"/>
      <c r="D27" s="33"/>
      <c r="E27" s="33"/>
      <c r="F27" s="33"/>
      <c r="G27" s="33"/>
      <c r="H27" s="33"/>
      <c r="I27" s="34"/>
      <c r="J27" s="8">
        <f>SUM(J28:J33)</f>
        <v>4.5</v>
      </c>
      <c r="K27" s="9" t="s">
        <v>24</v>
      </c>
      <c r="L27" s="9" t="s">
        <v>11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5.75" customHeight="1">
      <c r="B28" s="37" t="s">
        <v>25</v>
      </c>
      <c r="C28" s="33"/>
      <c r="D28" s="33"/>
      <c r="E28" s="33"/>
      <c r="F28" s="33"/>
      <c r="G28" s="33"/>
      <c r="H28" s="33"/>
      <c r="I28" s="34"/>
      <c r="J28" s="10">
        <v>0.5</v>
      </c>
      <c r="K28" s="11">
        <v>45960</v>
      </c>
      <c r="L28" s="12">
        <v>45964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5.75" customHeight="1">
      <c r="B29" s="37" t="s">
        <v>26</v>
      </c>
      <c r="C29" s="33"/>
      <c r="D29" s="33"/>
      <c r="E29" s="33"/>
      <c r="F29" s="33"/>
      <c r="G29" s="33"/>
      <c r="H29" s="33"/>
      <c r="I29" s="34"/>
      <c r="J29" s="13">
        <v>0.5</v>
      </c>
      <c r="K29" s="11">
        <v>45960</v>
      </c>
      <c r="L29" s="12">
        <v>45964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5.75" customHeight="1">
      <c r="B30" s="37" t="s">
        <v>27</v>
      </c>
      <c r="C30" s="33"/>
      <c r="D30" s="33"/>
      <c r="E30" s="33"/>
      <c r="F30" s="33"/>
      <c r="G30" s="33"/>
      <c r="H30" s="33"/>
      <c r="I30" s="34"/>
      <c r="J30" s="13" t="s">
        <v>28</v>
      </c>
      <c r="K30" s="11">
        <v>45960</v>
      </c>
      <c r="L30" s="12">
        <v>45964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5.75" customHeight="1">
      <c r="B31" s="37" t="s">
        <v>29</v>
      </c>
      <c r="C31" s="33"/>
      <c r="D31" s="33"/>
      <c r="E31" s="33"/>
      <c r="F31" s="33"/>
      <c r="G31" s="33"/>
      <c r="H31" s="33"/>
      <c r="I31" s="34"/>
      <c r="J31" s="10">
        <v>1.5</v>
      </c>
      <c r="K31" s="11">
        <v>45960</v>
      </c>
      <c r="L31" s="12">
        <v>45964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5.75" customHeight="1">
      <c r="B32" s="37" t="s">
        <v>30</v>
      </c>
      <c r="C32" s="33"/>
      <c r="D32" s="33"/>
      <c r="E32" s="33"/>
      <c r="F32" s="33"/>
      <c r="G32" s="33"/>
      <c r="H32" s="33"/>
      <c r="I32" s="34"/>
      <c r="J32" s="10">
        <v>1</v>
      </c>
      <c r="K32" s="11">
        <v>45960</v>
      </c>
      <c r="L32" s="12">
        <v>45964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5.75" customHeight="1">
      <c r="B33" s="38" t="s">
        <v>31</v>
      </c>
      <c r="C33" s="33"/>
      <c r="D33" s="33"/>
      <c r="E33" s="33"/>
      <c r="F33" s="33"/>
      <c r="G33" s="33"/>
      <c r="H33" s="33"/>
      <c r="I33" s="34"/>
      <c r="J33" s="13">
        <v>1</v>
      </c>
      <c r="K33" s="11">
        <v>45960</v>
      </c>
      <c r="L33" s="12">
        <v>45970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customHeight="1">
      <c r="B34" s="32" t="s">
        <v>32</v>
      </c>
      <c r="C34" s="33"/>
      <c r="D34" s="33"/>
      <c r="E34" s="33"/>
      <c r="F34" s="33"/>
      <c r="G34" s="33"/>
      <c r="H34" s="33"/>
      <c r="I34" s="34"/>
      <c r="J34" s="14">
        <f>SUM(J35:J36)</f>
        <v>4</v>
      </c>
      <c r="K34" s="9" t="s">
        <v>24</v>
      </c>
      <c r="L34" s="9" t="s">
        <v>11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9.5" customHeight="1">
      <c r="B35" s="39" t="s">
        <v>33</v>
      </c>
      <c r="C35" s="33"/>
      <c r="D35" s="33"/>
      <c r="E35" s="33"/>
      <c r="F35" s="33"/>
      <c r="G35" s="33"/>
      <c r="H35" s="33"/>
      <c r="I35" s="34"/>
      <c r="J35" s="10">
        <v>3</v>
      </c>
      <c r="K35" s="15">
        <v>45964</v>
      </c>
      <c r="L35" s="16">
        <v>45965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.75" customHeight="1">
      <c r="B36" s="38" t="s">
        <v>34</v>
      </c>
      <c r="C36" s="33"/>
      <c r="D36" s="33"/>
      <c r="E36" s="33"/>
      <c r="F36" s="33"/>
      <c r="G36" s="33"/>
      <c r="H36" s="33"/>
      <c r="I36" s="34"/>
      <c r="J36" s="10">
        <f>(15*4)/60</f>
        <v>1</v>
      </c>
      <c r="K36" s="15">
        <v>45964</v>
      </c>
      <c r="L36" s="16">
        <v>45965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5.75" customHeight="1">
      <c r="B37" s="32" t="s">
        <v>35</v>
      </c>
      <c r="C37" s="33"/>
      <c r="D37" s="33"/>
      <c r="E37" s="33"/>
      <c r="F37" s="33"/>
      <c r="G37" s="33"/>
      <c r="H37" s="33"/>
      <c r="I37" s="34"/>
      <c r="J37" s="17">
        <f>J38+J55+J59+J63</f>
        <v>8.25</v>
      </c>
      <c r="K37" s="35"/>
      <c r="L37" s="3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5.75" customHeight="1">
      <c r="B38" s="32" t="s">
        <v>36</v>
      </c>
      <c r="C38" s="33"/>
      <c r="D38" s="33"/>
      <c r="E38" s="33"/>
      <c r="F38" s="33"/>
      <c r="G38" s="33"/>
      <c r="H38" s="33"/>
      <c r="I38" s="34"/>
      <c r="J38" s="8">
        <f>SUM(J39:J54)</f>
        <v>7.75</v>
      </c>
      <c r="K38" s="9" t="s">
        <v>24</v>
      </c>
      <c r="L38" s="9" t="s">
        <v>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5" customHeight="1">
      <c r="B39" s="36" t="s">
        <v>37</v>
      </c>
      <c r="C39" s="33"/>
      <c r="D39" s="33"/>
      <c r="E39" s="33"/>
      <c r="F39" s="33"/>
      <c r="G39" s="33"/>
      <c r="H39" s="33"/>
      <c r="I39" s="34"/>
      <c r="J39" s="18">
        <v>0.25</v>
      </c>
      <c r="K39" s="16">
        <v>45965</v>
      </c>
      <c r="L39" s="16">
        <v>45965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9.25" customHeight="1">
      <c r="B40" s="19" t="s">
        <v>38</v>
      </c>
      <c r="C40" s="20"/>
      <c r="D40" s="20"/>
      <c r="E40" s="20"/>
      <c r="F40" s="20"/>
      <c r="G40" s="20"/>
      <c r="H40" s="20"/>
      <c r="I40" s="21"/>
      <c r="J40" s="18">
        <v>0.5</v>
      </c>
      <c r="K40" s="16">
        <v>45965</v>
      </c>
      <c r="L40" s="16">
        <v>45968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9.25" customHeight="1">
      <c r="B41" s="19" t="s">
        <v>39</v>
      </c>
      <c r="C41" s="20"/>
      <c r="D41" s="20"/>
      <c r="E41" s="20"/>
      <c r="F41" s="20"/>
      <c r="G41" s="20"/>
      <c r="H41" s="20"/>
      <c r="I41" s="21"/>
      <c r="J41" s="18">
        <v>0.5</v>
      </c>
      <c r="K41" s="16">
        <v>45965</v>
      </c>
      <c r="L41" s="16">
        <v>45968</v>
      </c>
      <c r="M41" s="1"/>
      <c r="N41" s="22" t="s">
        <v>40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9.25" customHeight="1">
      <c r="B42" s="19" t="s">
        <v>41</v>
      </c>
      <c r="C42" s="20"/>
      <c r="D42" s="20"/>
      <c r="E42" s="20"/>
      <c r="F42" s="20"/>
      <c r="G42" s="20"/>
      <c r="H42" s="20"/>
      <c r="I42" s="21"/>
      <c r="J42" s="18">
        <v>0.5</v>
      </c>
      <c r="K42" s="16">
        <v>45965</v>
      </c>
      <c r="L42" s="16">
        <v>45968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9.25" customHeight="1">
      <c r="B43" s="19" t="s">
        <v>42</v>
      </c>
      <c r="C43" s="20"/>
      <c r="D43" s="20"/>
      <c r="E43" s="20"/>
      <c r="F43" s="20"/>
      <c r="G43" s="20"/>
      <c r="H43" s="20"/>
      <c r="I43" s="21"/>
      <c r="J43" s="18">
        <v>0.5</v>
      </c>
      <c r="K43" s="16">
        <v>45965</v>
      </c>
      <c r="L43" s="16">
        <v>45968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9.25" customHeight="1">
      <c r="B44" s="23" t="s">
        <v>43</v>
      </c>
      <c r="C44" s="20"/>
      <c r="D44" s="20"/>
      <c r="E44" s="20"/>
      <c r="F44" s="20"/>
      <c r="G44" s="20"/>
      <c r="H44" s="20"/>
      <c r="I44" s="21"/>
      <c r="J44" s="18">
        <v>0.5</v>
      </c>
      <c r="K44" s="16">
        <v>45965</v>
      </c>
      <c r="L44" s="16">
        <v>45968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9.25" customHeight="1">
      <c r="B45" s="23" t="s">
        <v>44</v>
      </c>
      <c r="C45" s="20"/>
      <c r="D45" s="20"/>
      <c r="E45" s="20"/>
      <c r="F45" s="20"/>
      <c r="G45" s="20"/>
      <c r="H45" s="20"/>
      <c r="I45" s="21"/>
      <c r="J45" s="18">
        <v>0.5</v>
      </c>
      <c r="K45" s="16">
        <v>45965</v>
      </c>
      <c r="L45" s="16">
        <v>45968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9.25" customHeight="1">
      <c r="B46" s="23" t="s">
        <v>45</v>
      </c>
      <c r="C46" s="20"/>
      <c r="D46" s="20"/>
      <c r="E46" s="20"/>
      <c r="F46" s="20"/>
      <c r="G46" s="20"/>
      <c r="H46" s="20"/>
      <c r="I46" s="21"/>
      <c r="J46" s="18">
        <v>0.5</v>
      </c>
      <c r="K46" s="16">
        <v>45965</v>
      </c>
      <c r="L46" s="16">
        <v>45968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7.75" customHeight="1">
      <c r="B47" s="23" t="s">
        <v>46</v>
      </c>
      <c r="C47" s="20"/>
      <c r="D47" s="20"/>
      <c r="E47" s="20"/>
      <c r="F47" s="20"/>
      <c r="G47" s="20"/>
      <c r="H47" s="20"/>
      <c r="I47" s="21"/>
      <c r="J47" s="18">
        <v>0.5</v>
      </c>
      <c r="K47" s="16">
        <v>45965</v>
      </c>
      <c r="L47" s="16">
        <v>45968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9.25" customHeight="1">
      <c r="B48" s="23" t="s">
        <v>47</v>
      </c>
      <c r="C48" s="20"/>
      <c r="D48" s="20"/>
      <c r="E48" s="20"/>
      <c r="F48" s="20"/>
      <c r="G48" s="20"/>
      <c r="H48" s="20"/>
      <c r="I48" s="21"/>
      <c r="J48" s="18">
        <v>0.5</v>
      </c>
      <c r="K48" s="16">
        <v>45965</v>
      </c>
      <c r="L48" s="16">
        <v>45968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9.25" customHeight="1">
      <c r="B49" s="23" t="s">
        <v>48</v>
      </c>
      <c r="C49" s="20"/>
      <c r="D49" s="20"/>
      <c r="E49" s="20"/>
      <c r="F49" s="20"/>
      <c r="G49" s="20"/>
      <c r="H49" s="20"/>
      <c r="I49" s="21"/>
      <c r="J49" s="18">
        <v>0.5</v>
      </c>
      <c r="K49" s="16">
        <v>45965</v>
      </c>
      <c r="L49" s="16">
        <v>45968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9.25" customHeight="1">
      <c r="B50" s="23" t="s">
        <v>49</v>
      </c>
      <c r="C50" s="20"/>
      <c r="D50" s="20"/>
      <c r="E50" s="20"/>
      <c r="F50" s="20"/>
      <c r="G50" s="20"/>
      <c r="H50" s="20"/>
      <c r="I50" s="21"/>
      <c r="J50" s="18">
        <v>0.5</v>
      </c>
      <c r="K50" s="16">
        <v>45965</v>
      </c>
      <c r="L50" s="16">
        <v>45968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9.25" customHeight="1">
      <c r="B51" s="23" t="s">
        <v>50</v>
      </c>
      <c r="C51" s="20"/>
      <c r="D51" s="20"/>
      <c r="E51" s="20"/>
      <c r="F51" s="20"/>
      <c r="G51" s="20"/>
      <c r="H51" s="20"/>
      <c r="I51" s="21"/>
      <c r="J51" s="18">
        <v>0.5</v>
      </c>
      <c r="K51" s="16">
        <v>45965</v>
      </c>
      <c r="L51" s="16">
        <v>45968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9.25" customHeight="1">
      <c r="B52" s="23" t="s">
        <v>51</v>
      </c>
      <c r="C52" s="20"/>
      <c r="D52" s="20"/>
      <c r="E52" s="20"/>
      <c r="F52" s="20"/>
      <c r="G52" s="20"/>
      <c r="H52" s="20"/>
      <c r="I52" s="21"/>
      <c r="J52" s="18">
        <v>0.5</v>
      </c>
      <c r="K52" s="16">
        <v>45965</v>
      </c>
      <c r="L52" s="16">
        <v>45968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9.25" customHeight="1">
      <c r="B53" s="23" t="s">
        <v>52</v>
      </c>
      <c r="C53" s="20"/>
      <c r="D53" s="20"/>
      <c r="E53" s="20"/>
      <c r="F53" s="20"/>
      <c r="G53" s="20"/>
      <c r="H53" s="20"/>
      <c r="I53" s="21"/>
      <c r="J53" s="18">
        <v>0.5</v>
      </c>
      <c r="K53" s="16">
        <v>45965</v>
      </c>
      <c r="L53" s="16">
        <v>45968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9.25" customHeight="1">
      <c r="B54" s="23" t="s">
        <v>53</v>
      </c>
      <c r="C54" s="20"/>
      <c r="D54" s="20"/>
      <c r="E54" s="20"/>
      <c r="F54" s="20"/>
      <c r="G54" s="20"/>
      <c r="H54" s="20"/>
      <c r="I54" s="21"/>
      <c r="J54" s="18">
        <v>0.5</v>
      </c>
      <c r="K54" s="16">
        <v>45965</v>
      </c>
      <c r="L54" s="16">
        <v>45968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5.75" customHeight="1">
      <c r="B55" s="32" t="s">
        <v>54</v>
      </c>
      <c r="C55" s="33"/>
      <c r="D55" s="33"/>
      <c r="E55" s="33"/>
      <c r="F55" s="33"/>
      <c r="G55" s="33"/>
      <c r="H55" s="33"/>
      <c r="I55" s="34"/>
      <c r="J55" s="8">
        <f>SUM(J56:J57)</f>
        <v>0</v>
      </c>
      <c r="K55" s="9" t="s">
        <v>24</v>
      </c>
      <c r="L55" s="9" t="s">
        <v>11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5" customHeight="1">
      <c r="B56" s="36" t="s">
        <v>55</v>
      </c>
      <c r="C56" s="33"/>
      <c r="D56" s="33"/>
      <c r="E56" s="33"/>
      <c r="F56" s="33"/>
      <c r="G56" s="33"/>
      <c r="H56" s="33"/>
      <c r="I56" s="34"/>
      <c r="J56" s="10"/>
      <c r="K56" s="16"/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9.25" customHeight="1">
      <c r="B57" s="40" t="s">
        <v>56</v>
      </c>
      <c r="C57" s="33"/>
      <c r="D57" s="33"/>
      <c r="E57" s="33"/>
      <c r="F57" s="33"/>
      <c r="G57" s="33"/>
      <c r="H57" s="33"/>
      <c r="I57" s="34"/>
      <c r="J57" s="10"/>
      <c r="K57" s="16"/>
      <c r="L57" s="1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9.25" customHeight="1">
      <c r="B58" s="19"/>
      <c r="C58" s="20"/>
      <c r="D58" s="20"/>
      <c r="E58" s="20"/>
      <c r="F58" s="20"/>
      <c r="G58" s="20"/>
      <c r="H58" s="20"/>
      <c r="I58" s="21"/>
      <c r="J58" s="10"/>
      <c r="K58" s="16"/>
      <c r="L58" s="1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5.75" customHeight="1">
      <c r="B59" s="32" t="s">
        <v>57</v>
      </c>
      <c r="C59" s="33"/>
      <c r="D59" s="33"/>
      <c r="E59" s="33"/>
      <c r="F59" s="33"/>
      <c r="G59" s="33"/>
      <c r="H59" s="33"/>
      <c r="I59" s="34"/>
      <c r="J59" s="24">
        <f>SUM(J60:J62)</f>
        <v>0</v>
      </c>
      <c r="K59" s="9" t="s">
        <v>24</v>
      </c>
      <c r="L59" s="9" t="s">
        <v>11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5" customHeight="1">
      <c r="B60" s="36" t="s">
        <v>55</v>
      </c>
      <c r="C60" s="33"/>
      <c r="D60" s="33"/>
      <c r="E60" s="33"/>
      <c r="F60" s="33"/>
      <c r="G60" s="33"/>
      <c r="H60" s="33"/>
      <c r="I60" s="34"/>
      <c r="J60" s="10"/>
      <c r="K60" s="25"/>
      <c r="L60" s="2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5.75" customHeight="1">
      <c r="B61" s="38" t="s">
        <v>58</v>
      </c>
      <c r="C61" s="33"/>
      <c r="D61" s="33"/>
      <c r="E61" s="33"/>
      <c r="F61" s="33"/>
      <c r="G61" s="33"/>
      <c r="H61" s="33"/>
      <c r="I61" s="34"/>
      <c r="J61" s="10"/>
      <c r="K61" s="25"/>
      <c r="L61" s="1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40.5" customHeight="1">
      <c r="B62" s="40" t="s">
        <v>59</v>
      </c>
      <c r="C62" s="33"/>
      <c r="D62" s="33"/>
      <c r="E62" s="33"/>
      <c r="F62" s="33"/>
      <c r="G62" s="33"/>
      <c r="H62" s="33"/>
      <c r="I62" s="34"/>
      <c r="J62" s="10"/>
      <c r="K62" s="25"/>
      <c r="L62" s="1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5.75" customHeight="1">
      <c r="B63" s="32" t="s">
        <v>60</v>
      </c>
      <c r="C63" s="33"/>
      <c r="D63" s="33"/>
      <c r="E63" s="33"/>
      <c r="F63" s="33"/>
      <c r="G63" s="33"/>
      <c r="H63" s="33"/>
      <c r="I63" s="34"/>
      <c r="J63" s="27">
        <f>SUM(J64)</f>
        <v>0.5</v>
      </c>
      <c r="K63" s="9" t="s">
        <v>24</v>
      </c>
      <c r="L63" s="9" t="s">
        <v>11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5" customHeight="1">
      <c r="B64" s="40" t="s">
        <v>61</v>
      </c>
      <c r="C64" s="33"/>
      <c r="D64" s="33"/>
      <c r="E64" s="33"/>
      <c r="F64" s="33"/>
      <c r="G64" s="33"/>
      <c r="H64" s="33"/>
      <c r="I64" s="34"/>
      <c r="J64" s="28">
        <v>0.5</v>
      </c>
      <c r="K64" s="16">
        <v>45964</v>
      </c>
      <c r="L64" s="16">
        <v>45964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5.75" customHeight="1">
      <c r="B65" s="32" t="s">
        <v>62</v>
      </c>
      <c r="C65" s="33"/>
      <c r="D65" s="33"/>
      <c r="E65" s="33"/>
      <c r="F65" s="33"/>
      <c r="G65" s="33"/>
      <c r="H65" s="33"/>
      <c r="I65" s="34"/>
      <c r="J65" s="8">
        <f>SUM(J66:J67)</f>
        <v>2</v>
      </c>
      <c r="K65" s="9" t="s">
        <v>24</v>
      </c>
      <c r="L65" s="9" t="s">
        <v>11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5.75" customHeight="1">
      <c r="B66" s="37" t="s">
        <v>63</v>
      </c>
      <c r="C66" s="33"/>
      <c r="D66" s="33"/>
      <c r="E66" s="33"/>
      <c r="F66" s="33"/>
      <c r="G66" s="33"/>
      <c r="H66" s="33"/>
      <c r="I66" s="34"/>
      <c r="J66" s="18">
        <v>1</v>
      </c>
      <c r="K66" s="11">
        <v>45960</v>
      </c>
      <c r="L66" s="16">
        <v>45970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5.75" customHeight="1">
      <c r="B67" s="37" t="s">
        <v>64</v>
      </c>
      <c r="C67" s="33"/>
      <c r="D67" s="33"/>
      <c r="E67" s="33"/>
      <c r="F67" s="33"/>
      <c r="G67" s="33"/>
      <c r="H67" s="33"/>
      <c r="I67" s="34"/>
      <c r="J67" s="10">
        <v>1</v>
      </c>
      <c r="K67" s="11">
        <v>45960</v>
      </c>
      <c r="L67" s="16">
        <v>45970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5.75" customHeight="1">
      <c r="B68" s="43"/>
      <c r="C68" s="33"/>
      <c r="D68" s="33"/>
      <c r="E68" s="33"/>
      <c r="F68" s="33"/>
      <c r="G68" s="33"/>
      <c r="H68" s="33"/>
      <c r="I68" s="34"/>
      <c r="J68" s="29"/>
      <c r="K68" s="29"/>
      <c r="L68" s="2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5.75" customHeight="1">
      <c r="B69" s="32" t="s">
        <v>65</v>
      </c>
      <c r="C69" s="33"/>
      <c r="D69" s="33"/>
      <c r="E69" s="33"/>
      <c r="F69" s="33"/>
      <c r="G69" s="33"/>
      <c r="H69" s="33"/>
      <c r="I69" s="34"/>
      <c r="J69" s="8">
        <f>SUM(J70:J72)</f>
        <v>1.75</v>
      </c>
      <c r="K69" s="9" t="s">
        <v>24</v>
      </c>
      <c r="L69" s="9" t="s">
        <v>11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5.75" customHeight="1">
      <c r="B70" s="37" t="s">
        <v>66</v>
      </c>
      <c r="C70" s="33"/>
      <c r="D70" s="33"/>
      <c r="E70" s="33"/>
      <c r="F70" s="33"/>
      <c r="G70" s="33"/>
      <c r="H70" s="33"/>
      <c r="I70" s="34"/>
      <c r="J70" s="10">
        <v>0.5</v>
      </c>
      <c r="K70" s="16">
        <v>45968</v>
      </c>
      <c r="L70" s="16">
        <v>45968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5.75" customHeight="1">
      <c r="B71" s="37" t="s">
        <v>67</v>
      </c>
      <c r="C71" s="33"/>
      <c r="D71" s="33"/>
      <c r="E71" s="33"/>
      <c r="F71" s="33"/>
      <c r="G71" s="33"/>
      <c r="H71" s="33"/>
      <c r="I71" s="34"/>
      <c r="J71" s="10">
        <v>1</v>
      </c>
      <c r="K71" s="16">
        <v>45970</v>
      </c>
      <c r="L71" s="16">
        <v>45970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5.75" customHeight="1">
      <c r="B72" s="37" t="s">
        <v>68</v>
      </c>
      <c r="C72" s="33"/>
      <c r="D72" s="33"/>
      <c r="E72" s="33"/>
      <c r="F72" s="33"/>
      <c r="G72" s="33"/>
      <c r="H72" s="33"/>
      <c r="I72" s="34"/>
      <c r="J72" s="18">
        <v>0.25</v>
      </c>
      <c r="K72" s="16">
        <v>45970</v>
      </c>
      <c r="L72" s="16">
        <v>45970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5.75" customHeight="1">
      <c r="B73" s="32" t="s">
        <v>69</v>
      </c>
      <c r="C73" s="33"/>
      <c r="D73" s="33"/>
      <c r="E73" s="33"/>
      <c r="F73" s="33"/>
      <c r="G73" s="33"/>
      <c r="H73" s="33"/>
      <c r="I73" s="34"/>
      <c r="J73" s="41">
        <f>SUM(J27,J34,J37,J69,J65)</f>
        <v>20.5</v>
      </c>
      <c r="K73" s="33"/>
      <c r="L73" s="3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5.75" customHeight="1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5" customHeight="1">
      <c r="B75" s="30"/>
      <c r="C75" s="30"/>
      <c r="D75" s="30"/>
      <c r="E75" s="30"/>
      <c r="F75" s="30"/>
      <c r="G75" s="30"/>
      <c r="H75" s="30"/>
      <c r="I75" s="42" t="s">
        <v>70</v>
      </c>
      <c r="J75" s="34"/>
      <c r="K75" s="31">
        <f>CEILING(J73/C18,1)</f>
        <v>11</v>
      </c>
      <c r="L75" s="30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5.75" customHeight="1">
      <c r="B76" s="30"/>
      <c r="C76" s="30"/>
      <c r="D76" s="30"/>
      <c r="E76" s="30"/>
      <c r="F76" s="30"/>
      <c r="G76" s="30"/>
      <c r="H76" s="30"/>
      <c r="I76" s="30"/>
      <c r="J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2:27" ht="15.75" customHeight="1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2:27" ht="15.75" customHeight="1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2:27" ht="15.75" customHeight="1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2:27" ht="15.75" customHeight="1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2:27" ht="15.75" customHeight="1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2:27" ht="15.75" customHeight="1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2:27" ht="15.75" customHeight="1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2:27" ht="15.75" customHeight="1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2:27" ht="15.75" customHeight="1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2:27" ht="15.75" customHeight="1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2:27" ht="15.75" customHeight="1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2:27" ht="15.75" customHeight="1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2:27" ht="15.75" customHeight="1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2:27" ht="15.75" customHeight="1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2:27" ht="15.75" customHeight="1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2:27" ht="15.75" customHeight="1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2:27" ht="15.75" customHeight="1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2:27" ht="15.75" customHeight="1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2:27" ht="15.75" customHeight="1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2:27" ht="15.75" customHeight="1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2:27" ht="15.75" customHeight="1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2:27" ht="15.75" customHeight="1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2:27" ht="15.75" customHeight="1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2:27" ht="15.75" customHeight="1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2:27" ht="15.75" customHeight="1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2:27" ht="15.75" customHeight="1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2:27" ht="15.75" customHeight="1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2:27" ht="15.75" customHeight="1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2:27" ht="15.75" customHeight="1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2:27" ht="15.75" customHeight="1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2:27" ht="15.75" customHeight="1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2:27" ht="15.75" customHeight="1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2:27" ht="15.75" customHeight="1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2:27" ht="15.75" customHeight="1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2:27" ht="15.75" customHeight="1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2:27" ht="15.75" customHeight="1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2:27" ht="15.75" customHeight="1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2:27" ht="15.75" customHeight="1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2:27" ht="15.75" customHeight="1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2:27" ht="15.75" customHeight="1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2:27" ht="15.75" customHeight="1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2:27" ht="15.75" customHeight="1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2:27" ht="15.75" customHeight="1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2:27" ht="15.75" customHeight="1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2:27" ht="15.75" customHeight="1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2:27" ht="15.75" customHeight="1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2:27" ht="15.75" customHeight="1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2:27" ht="15.75" customHeight="1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2:27" ht="15.75" customHeight="1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2:27" ht="15.75" customHeight="1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2:27" ht="15.75" customHeight="1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2:27" ht="15.75" customHeight="1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2:27" ht="15.75" customHeight="1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2:27" ht="15.75" customHeight="1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2:27" ht="15.75" customHeight="1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2:27" ht="15.75" customHeight="1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2:27" ht="15.75" customHeight="1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2:27" ht="15.75" customHeight="1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2:27" ht="15.75" customHeight="1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2:27" ht="15.75" customHeight="1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2:27" ht="15.75" customHeight="1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2:27" ht="15.75" customHeight="1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2:27" ht="15.75" customHeight="1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2:27" ht="15.75" customHeight="1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2:27" ht="15.75" customHeight="1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2:27" ht="15.75" customHeight="1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2:27" ht="15.75" customHeight="1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2:27" ht="15.75" customHeight="1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2:27" ht="15.75" customHeight="1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2:27" ht="15.75" customHeight="1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2:27" ht="15.75" customHeight="1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2:27" ht="15.75" customHeight="1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2:27" ht="15.75" customHeight="1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2:27" ht="15.75" customHeight="1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2:27" ht="15.75" customHeight="1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2:27" ht="15.75" customHeight="1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2:27" ht="15.75" customHeight="1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2:27" ht="15.75" customHeight="1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2:27" ht="15.75" customHeight="1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2:27" ht="15.75" customHeight="1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2:27" ht="15.75" customHeight="1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2:27" ht="15.75" customHeight="1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2:27" ht="15.75" customHeight="1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2:27" ht="15.75" customHeight="1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2:27" ht="15.75" customHeight="1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2:27" ht="15.75" customHeight="1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2:27" ht="15.75" customHeight="1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2:27" ht="15.75" customHeight="1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2:27" ht="15.75" customHeight="1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2:27" ht="15.75" customHeight="1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2:27" ht="15.75" customHeight="1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2:27" ht="15.75" customHeight="1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2:27" ht="15.75" customHeight="1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2:27" ht="15.75" customHeight="1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2:27" ht="15.75" customHeight="1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2:27" ht="15.75" customHeight="1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2:27" ht="15.75" customHeight="1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2:27" ht="15.75" customHeight="1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2:27" ht="15.75" customHeight="1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2:27" ht="15.75" customHeight="1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2:27" ht="15.75" customHeight="1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2:27" ht="15.75" customHeight="1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2:27" ht="15.75" customHeight="1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2:27" ht="15.75" customHeight="1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2:27" ht="15.75" customHeight="1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2:27" ht="15.75" customHeight="1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2:27" ht="15.75" customHeight="1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2:27" ht="15.75" customHeight="1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2:27" ht="15.75" customHeight="1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2:27" ht="15.75" customHeight="1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2:27" ht="15.75" customHeight="1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2:27" ht="15.75" customHeight="1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2:27" ht="15.75" customHeight="1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2:27" ht="15.75" customHeight="1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2:27" ht="15.75" customHeight="1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2:27" ht="15.75" customHeight="1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2:27" ht="15.75" customHeight="1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2:27" ht="15.75" customHeight="1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2:27" ht="15.75" customHeight="1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2:27" ht="15.75" customHeight="1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2:27" ht="15.75" customHeight="1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2:27" ht="15.75" customHeight="1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2:27" ht="15.75" customHeight="1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2:27" ht="15.75" customHeight="1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2:27" ht="15.75" customHeight="1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2:27" ht="15.75" customHeight="1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2:27" ht="15.75" customHeight="1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2:27" ht="15.75" customHeight="1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2:27" ht="15.75" customHeight="1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2:27" ht="15.75" customHeight="1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2:27" ht="15.75" customHeight="1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2:27" ht="15.75" customHeight="1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2:27" ht="15.75" customHeight="1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2:27" ht="15.75" customHeight="1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2:27" ht="15.75" customHeight="1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2:27" ht="15.75" customHeight="1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2:27" ht="15.75" customHeight="1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2:27" ht="15.75" customHeight="1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2:27" ht="15.75" customHeight="1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2:27" ht="15.75" customHeight="1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2:27" ht="15.75" customHeight="1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2:27" ht="15.75" customHeight="1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2:27" ht="15.75" customHeight="1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2:27" ht="15.75" customHeight="1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2:27" ht="15.75" customHeight="1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2:27" ht="15.75" customHeight="1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2:27" ht="15.75" customHeight="1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2:27" ht="15.75" customHeight="1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spans="2:27" ht="15.75" customHeight="1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2:27" ht="15.75" customHeight="1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2:27" ht="15.75" customHeight="1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spans="2:27" ht="15.75" customHeight="1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2:27" ht="15.75" customHeight="1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spans="2:27" ht="15.75" customHeight="1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2:27" ht="15.75" customHeight="1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spans="2:27" ht="15.75" customHeight="1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spans="2:27" ht="15.75" customHeight="1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spans="2:27" ht="15.75" customHeight="1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spans="2:27" ht="15.75" customHeight="1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spans="2:27" ht="15.75" customHeight="1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spans="2:27" ht="15.75" customHeight="1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2:27" ht="15.75" customHeight="1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2:27" ht="15.75" customHeight="1"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spans="2:27" ht="15.75" customHeight="1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spans="2:27" ht="15.75" customHeight="1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spans="2:27" ht="15.75" customHeight="1"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2:27" ht="15.75" customHeight="1"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spans="2:27" ht="15.75" customHeight="1"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spans="2:27" ht="15.75" customHeight="1"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spans="2:27" ht="15.75" customHeight="1"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2:27" ht="15.75" customHeight="1"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spans="2:27" ht="15.75" customHeight="1"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spans="2:27" ht="15.75" customHeight="1"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2:27" ht="15.75" customHeight="1"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2:27" ht="15.75" customHeight="1"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spans="2:27" ht="15.75" customHeight="1"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spans="2:27" ht="15.75" customHeight="1"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spans="2:27" ht="15.75" customHeight="1"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spans="2:27" ht="15.75" customHeight="1"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2:27" ht="15.75" customHeight="1"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spans="2:27" ht="15.75" customHeight="1"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spans="2:27" ht="15.75" customHeight="1"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2:27" ht="15.75" customHeight="1"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spans="2:27" ht="15.75" customHeight="1"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spans="2:27" ht="15.75" customHeight="1"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spans="2:27" ht="15.75" customHeight="1"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spans="2:27" ht="15.75" customHeight="1"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spans="2:27" ht="15.75" customHeight="1"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spans="2:27" ht="15.75" customHeight="1"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spans="2:27" ht="15.75" customHeight="1"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spans="2:27" ht="15.75" customHeight="1"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spans="2:27" ht="15.75" customHeight="1"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spans="2:27" ht="15.75" customHeight="1"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spans="2:27" ht="15.75" customHeight="1"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spans="2:27" ht="15.75" customHeight="1"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spans="2:27" ht="15.75" customHeight="1"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spans="2:27" ht="15.75" customHeight="1"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2:27" ht="15.75" customHeight="1"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spans="2:27" ht="15.75" customHeight="1"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spans="2:27" ht="15.75" customHeight="1"/>
    <row r="277" spans="2:27" ht="15.75" customHeight="1"/>
    <row r="278" spans="2:27" ht="15.75" customHeight="1"/>
    <row r="279" spans="2:27" ht="15.75" customHeight="1"/>
    <row r="280" spans="2:27" ht="15.75" customHeight="1"/>
    <row r="281" spans="2:27" ht="15.75" customHeight="1"/>
    <row r="282" spans="2:27" ht="15.75" customHeight="1"/>
    <row r="283" spans="2:27" ht="15.75" customHeight="1"/>
    <row r="284" spans="2:27" ht="15.75" customHeight="1"/>
    <row r="285" spans="2:27" ht="15.75" customHeight="1"/>
    <row r="286" spans="2:27" ht="15.75" customHeight="1"/>
    <row r="287" spans="2:27" ht="15.75" customHeight="1"/>
    <row r="288" spans="2:27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71">
    <mergeCell ref="B29:I29"/>
    <mergeCell ref="B24:L24"/>
    <mergeCell ref="B25:L25"/>
    <mergeCell ref="B26:L26"/>
    <mergeCell ref="B27:I27"/>
    <mergeCell ref="B28:I28"/>
    <mergeCell ref="C17:L17"/>
    <mergeCell ref="B22:D22"/>
    <mergeCell ref="B23:D23"/>
    <mergeCell ref="C18:L18"/>
    <mergeCell ref="B19:L19"/>
    <mergeCell ref="B20:D20"/>
    <mergeCell ref="E20:L20"/>
    <mergeCell ref="B21:D21"/>
    <mergeCell ref="E21:L21"/>
    <mergeCell ref="E22:L22"/>
    <mergeCell ref="E23:L23"/>
    <mergeCell ref="C12:L12"/>
    <mergeCell ref="C13:L13"/>
    <mergeCell ref="C14:L14"/>
    <mergeCell ref="C15:L15"/>
    <mergeCell ref="C16:L16"/>
    <mergeCell ref="B6:L7"/>
    <mergeCell ref="E8:F8"/>
    <mergeCell ref="E10:F10"/>
    <mergeCell ref="E11:F11"/>
    <mergeCell ref="G11:H11"/>
    <mergeCell ref="G8:H8"/>
    <mergeCell ref="I8:L8"/>
    <mergeCell ref="E9:F9"/>
    <mergeCell ref="G9:H9"/>
    <mergeCell ref="I9:L9"/>
    <mergeCell ref="G10:H10"/>
    <mergeCell ref="I10:L10"/>
    <mergeCell ref="I11:L11"/>
    <mergeCell ref="B1:C3"/>
    <mergeCell ref="D1:H3"/>
    <mergeCell ref="I1:L3"/>
    <mergeCell ref="B4:L4"/>
    <mergeCell ref="B5:L5"/>
    <mergeCell ref="B73:I73"/>
    <mergeCell ref="J73:L73"/>
    <mergeCell ref="I75:J75"/>
    <mergeCell ref="B63:I63"/>
    <mergeCell ref="B64:I64"/>
    <mergeCell ref="B65:I65"/>
    <mergeCell ref="B69:I69"/>
    <mergeCell ref="B66:I66"/>
    <mergeCell ref="B67:I67"/>
    <mergeCell ref="B68:I68"/>
    <mergeCell ref="B61:I61"/>
    <mergeCell ref="B62:I62"/>
    <mergeCell ref="B70:I70"/>
    <mergeCell ref="B71:I71"/>
    <mergeCell ref="B72:I72"/>
    <mergeCell ref="B55:I55"/>
    <mergeCell ref="B56:I56"/>
    <mergeCell ref="B57:I57"/>
    <mergeCell ref="B59:I59"/>
    <mergeCell ref="B60:I60"/>
    <mergeCell ref="B37:I37"/>
    <mergeCell ref="K37:L37"/>
    <mergeCell ref="B38:I38"/>
    <mergeCell ref="B39:I39"/>
    <mergeCell ref="B30:I30"/>
    <mergeCell ref="B31:I31"/>
    <mergeCell ref="B32:I32"/>
    <mergeCell ref="B33:I33"/>
    <mergeCell ref="B34:I34"/>
    <mergeCell ref="B35:I35"/>
    <mergeCell ref="B36:I36"/>
  </mergeCells>
  <pageMargins left="0" right="0" top="0.13888888888888901" bottom="0.13888888888888901" header="0" footer="0"/>
  <pageSetup paperSize="9" pageOrder="overThenDown" orientation="portrait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Martínez portela</dc:creator>
  <cp:lastModifiedBy>Kevin</cp:lastModifiedBy>
  <dcterms:created xsi:type="dcterms:W3CDTF">2025-11-07T03:38:59Z</dcterms:created>
  <dcterms:modified xsi:type="dcterms:W3CDTF">2025-12-01T19:21:13Z</dcterms:modified>
</cp:coreProperties>
</file>